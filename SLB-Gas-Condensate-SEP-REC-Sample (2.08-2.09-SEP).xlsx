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ano-my.sharepoint.com/personal/markushays_whitson_com/Documents/whitsonPVT/Data Digitalization Test/Excel Templates - Empty/"/>
    </mc:Choice>
  </mc:AlternateContent>
  <xr:revisionPtr revIDLastSave="853" documentId="8_{60881D7D-F2B9-4D64-A00E-A6623A749F96}" xr6:coauthVersionLast="47" xr6:coauthVersionMax="47" xr10:uidLastSave="{D0587348-A043-4469-96B4-166F7BC37D13}"/>
  <bookViews>
    <workbookView xWindow="-120" yWindow="-120" windowWidth="29040" windowHeight="15840" firstSheet="2" activeTab="2" xr2:uid="{1E48386E-8708-480E-BD59-819B923511FD}"/>
  </bookViews>
  <sheets>
    <sheet name="units" sheetId="4" state="hidden" r:id="rId1"/>
    <sheet name="sample options" sheetId="5" state="hidden" r:id="rId2"/>
    <sheet name="General Info" sheetId="1" r:id="rId3"/>
    <sheet name="Compositional Data" sheetId="2" r:id="rId4"/>
    <sheet name="CCE Experimental Data" sheetId="3" r:id="rId5"/>
    <sheet name="CVD Experimental Data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1" i="7" l="1" a="1"/>
  <c r="A501" i="7" s="1"/>
  <c r="Y5" i="7" s="1"/>
  <c r="A500" i="7" a="1"/>
  <c r="BT3" i="7" s="1"/>
  <c r="BV5" i="7"/>
  <c r="BV3" i="7"/>
  <c r="BU3" i="7"/>
  <c r="BS3" i="7"/>
  <c r="BQ3" i="7"/>
  <c r="BP3" i="7"/>
  <c r="BO3" i="7"/>
  <c r="BM3" i="7"/>
  <c r="BK3" i="7"/>
  <c r="BI3" i="7"/>
  <c r="BH3" i="7"/>
  <c r="BG3" i="7"/>
  <c r="BF3" i="7"/>
  <c r="BE3" i="7"/>
  <c r="BC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AH5" i="7" l="1"/>
  <c r="AW5" i="7"/>
  <c r="BK5" i="7"/>
  <c r="AG5" i="7"/>
  <c r="AU5" i="7"/>
  <c r="BI5" i="7"/>
  <c r="AI5" i="7"/>
  <c r="AX5" i="7"/>
  <c r="BO5" i="7"/>
  <c r="AK5" i="7"/>
  <c r="BA5" i="7"/>
  <c r="BQ5" i="7"/>
  <c r="AO5" i="7"/>
  <c r="BC5" i="7"/>
  <c r="BS5" i="7"/>
  <c r="AA5" i="7"/>
  <c r="AP5" i="7"/>
  <c r="BE5" i="7"/>
  <c r="BU5" i="7"/>
  <c r="AC5" i="7"/>
  <c r="AQ5" i="7"/>
  <c r="BF5" i="7"/>
  <c r="AE5" i="7"/>
  <c r="AS5" i="7"/>
  <c r="BG5" i="7"/>
  <c r="Z5" i="7"/>
  <c r="AM5" i="7"/>
  <c r="AY5" i="7"/>
  <c r="BM5" i="7"/>
  <c r="BN3" i="7"/>
  <c r="AF5" i="7"/>
  <c r="AN5" i="7"/>
  <c r="AV5" i="7"/>
  <c r="BD5" i="7"/>
  <c r="BL5" i="7"/>
  <c r="BT5" i="7"/>
  <c r="BN5" i="7"/>
  <c r="BB3" i="7"/>
  <c r="BJ3" i="7"/>
  <c r="BR3" i="7"/>
  <c r="AB5" i="7"/>
  <c r="AJ5" i="7"/>
  <c r="AR5" i="7"/>
  <c r="AZ5" i="7"/>
  <c r="BH5" i="7"/>
  <c r="BP5" i="7"/>
  <c r="A500" i="7"/>
  <c r="Y3" i="7" s="1"/>
  <c r="BD3" i="7"/>
  <c r="BL3" i="7"/>
  <c r="AD5" i="7"/>
  <c r="AL5" i="7"/>
  <c r="AT5" i="7"/>
  <c r="BB5" i="7"/>
  <c r="BJ5" i="7"/>
  <c r="BR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<sst xmlns="http://schemas.openxmlformats.org/spreadsheetml/2006/main" count="340" uniqueCount="149">
  <si>
    <t>Note About the PVT Sample</t>
  </si>
  <si>
    <t>PVT Sample Information</t>
  </si>
  <si>
    <t>Sample Name</t>
  </si>
  <si>
    <t>Sample Type</t>
  </si>
  <si>
    <t>Well Name</t>
  </si>
  <si>
    <t>Reservoir</t>
  </si>
  <si>
    <t>Segment</t>
  </si>
  <si>
    <t>Formation</t>
  </si>
  <si>
    <t>Zone</t>
  </si>
  <si>
    <t>Fluid in Storage</t>
  </si>
  <si>
    <t>PVT Report</t>
  </si>
  <si>
    <t>PVT Sample Location Information</t>
  </si>
  <si>
    <t>True Vertical Depth</t>
  </si>
  <si>
    <t>Measured Depth</t>
  </si>
  <si>
    <t>Top Perforation Depth</t>
  </si>
  <si>
    <t>Bottom Perforation Depth</t>
  </si>
  <si>
    <t>Latitude</t>
  </si>
  <si>
    <t>Longitude</t>
  </si>
  <si>
    <t>length-depth</t>
  </si>
  <si>
    <t>m</t>
  </si>
  <si>
    <t>ft</t>
  </si>
  <si>
    <t>N</t>
  </si>
  <si>
    <t>S</t>
  </si>
  <si>
    <t>E</t>
  </si>
  <si>
    <t>W</t>
  </si>
  <si>
    <t>Reservoir Conditions</t>
  </si>
  <si>
    <t>Reservoir Pressure</t>
  </si>
  <si>
    <t>Reservoir Temperature</t>
  </si>
  <si>
    <t>Pressure</t>
  </si>
  <si>
    <t>Temperature</t>
  </si>
  <si>
    <t>bara</t>
  </si>
  <si>
    <t>barg</t>
  </si>
  <si>
    <t>psia</t>
  </si>
  <si>
    <t>psig</t>
  </si>
  <si>
    <t>kPaa</t>
  </si>
  <si>
    <t>kPag</t>
  </si>
  <si>
    <t>atm</t>
  </si>
  <si>
    <t>atmg</t>
  </si>
  <si>
    <t>°C</t>
  </si>
  <si>
    <t>K</t>
  </si>
  <si>
    <t>°F</t>
  </si>
  <si>
    <t>°R</t>
  </si>
  <si>
    <t>PVT Sample Conditions Information</t>
  </si>
  <si>
    <t>Pressure when Sampled</t>
  </si>
  <si>
    <t>Temperature when Sampled</t>
  </si>
  <si>
    <t>Transfer Pressure</t>
  </si>
  <si>
    <t>Transfer Temperature</t>
  </si>
  <si>
    <t>Pressure at Laboratory</t>
  </si>
  <si>
    <t>Temperature at Laboratory</t>
  </si>
  <si>
    <t>Sample Drawdown Pressure</t>
  </si>
  <si>
    <t>Additional Fluid Information</t>
  </si>
  <si>
    <t>Fluid Type</t>
  </si>
  <si>
    <t>Fluid type</t>
  </si>
  <si>
    <t>Gas</t>
  </si>
  <si>
    <t>Oil</t>
  </si>
  <si>
    <t>Water</t>
  </si>
  <si>
    <t>Mud base</t>
  </si>
  <si>
    <t>Mud Base</t>
  </si>
  <si>
    <t>Component</t>
  </si>
  <si>
    <t>Name</t>
  </si>
  <si>
    <t>Reported</t>
  </si>
  <si>
    <t>MW</t>
  </si>
  <si>
    <t>Mole</t>
  </si>
  <si>
    <t>Amounts</t>
  </si>
  <si>
    <t>Mass</t>
  </si>
  <si>
    <t>GOR</t>
  </si>
  <si>
    <t>Sm3/Sm3</t>
  </si>
  <si>
    <t>Sm3/m3</t>
  </si>
  <si>
    <t>scf/STB</t>
  </si>
  <si>
    <t>scf/bbl</t>
  </si>
  <si>
    <t>1e6-Sm3/Sm3</t>
  </si>
  <si>
    <t>1e6-Sm3/m3</t>
  </si>
  <si>
    <t>MMscf/STB</t>
  </si>
  <si>
    <t>MMscf/bbl</t>
  </si>
  <si>
    <t>1e3-Sm3/Sm3</t>
  </si>
  <si>
    <t>1e3-Sm3/m3</t>
  </si>
  <si>
    <t>Mscf/STB</t>
  </si>
  <si>
    <t>Mscf/bbl</t>
  </si>
  <si>
    <t>Recombined Fluid Information</t>
  </si>
  <si>
    <t>Fluid Molecular Weight:</t>
  </si>
  <si>
    <t>Recombination GOR:</t>
  </si>
  <si>
    <t>Specific Gravity:</t>
  </si>
  <si>
    <t>Liquid density</t>
  </si>
  <si>
    <t>Gas density</t>
  </si>
  <si>
    <t>SG</t>
  </si>
  <si>
    <t>kg/m3</t>
  </si>
  <si>
    <t>g/cm3</t>
  </si>
  <si>
    <t>lbm/bbl</t>
  </si>
  <si>
    <t>lbm/ft3</t>
  </si>
  <si>
    <t>Fluid Density:</t>
  </si>
  <si>
    <t>Flash Temperature:</t>
  </si>
  <si>
    <t>Reported Contamination:</t>
  </si>
  <si>
    <t>Fractions</t>
  </si>
  <si>
    <t>%</t>
  </si>
  <si>
    <t>frac.</t>
  </si>
  <si>
    <t>Density</t>
  </si>
  <si>
    <t>Volume</t>
  </si>
  <si>
    <t>Saturation Pressure Type:</t>
  </si>
  <si>
    <t>Saturation Pressure:</t>
  </si>
  <si>
    <t>Temperature:</t>
  </si>
  <si>
    <t>sat pres type</t>
  </si>
  <si>
    <t>Bubblepoint</t>
  </si>
  <si>
    <t>Dewpoint</t>
  </si>
  <si>
    <t>Experiment Information</t>
  </si>
  <si>
    <t>Constant Composition Expansion (CCE)</t>
  </si>
  <si>
    <t>Stage</t>
  </si>
  <si>
    <t>Relative</t>
  </si>
  <si>
    <t>Total Volume</t>
  </si>
  <si>
    <t>-</t>
  </si>
  <si>
    <t>Single-Phase</t>
  </si>
  <si>
    <t>Oil Volume</t>
  </si>
  <si>
    <t>rel oil volume</t>
  </si>
  <si>
    <t>Vo / Vsat (%)</t>
  </si>
  <si>
    <t>Vo / Vsat (frac)</t>
  </si>
  <si>
    <t>Vo / Vtot (frac)</t>
  </si>
  <si>
    <t>Vo / Vtot (%)</t>
  </si>
  <si>
    <t>Z-factor</t>
  </si>
  <si>
    <t>NOTE: Pressure and relative total volume are typically always given!</t>
  </si>
  <si>
    <t>Residual Fluids Information at Standard Conditions</t>
  </si>
  <si>
    <t>Average Oil Molecular Weight:</t>
  </si>
  <si>
    <t>GOR (2)</t>
  </si>
  <si>
    <t>FVF</t>
  </si>
  <si>
    <t>m3/Sm3</t>
  </si>
  <si>
    <t>bbl/STB</t>
  </si>
  <si>
    <t>Gravity</t>
  </si>
  <si>
    <t>Viscosity</t>
  </si>
  <si>
    <t>cP</t>
  </si>
  <si>
    <t>µcP</t>
  </si>
  <si>
    <t>Residual Oil Data</t>
  </si>
  <si>
    <t>Composition</t>
  </si>
  <si>
    <t>moles</t>
  </si>
  <si>
    <t>Relative Oil</t>
  </si>
  <si>
    <t>Relative Moles</t>
  </si>
  <si>
    <t>Removed</t>
  </si>
  <si>
    <t>Gas Heaviest</t>
  </si>
  <si>
    <t>Fraction MW</t>
  </si>
  <si>
    <t>NOTE: Pressure, relative oil volume, and moles removed are typically always given!</t>
  </si>
  <si>
    <t>Stock Tank Oil Density:</t>
  </si>
  <si>
    <t xml:space="preserve">   Wellstream / Removed Gas Data (Stages added when added in the stage data section to the left)</t>
  </si>
  <si>
    <t>Separator Recombined</t>
  </si>
  <si>
    <t>Separator Gas Information</t>
  </si>
  <si>
    <t>Separator Oil Information</t>
  </si>
  <si>
    <t>Flashed Gas (from SEPO) Information</t>
  </si>
  <si>
    <t>Flashed Oil (from SEPO) Information</t>
  </si>
  <si>
    <t>psat</t>
  </si>
  <si>
    <t>Sample Date (YYYY-MM-DD)</t>
  </si>
  <si>
    <t>Separator Pressure:</t>
  </si>
  <si>
    <t>Separator Temperature:</t>
  </si>
  <si>
    <t>Write a note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</si>
</sst>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7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/>
    </xf>
    <xf numFmtId="0" fontId="1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5" borderId="9" xfId="0" quotePrefix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theme="3" tint="0.89996032593768116"/>
      </font>
      <fill>
        <patternFill>
          <bgColor theme="3" tint="0.89996032593768116"/>
        </patternFill>
      </fill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</border>
    </dxf>
  </dxfs>
  <tableStyles count="0" defaultTableStyle="TableStyleMedium2" defaultPivotStyle="PivotStyleLight16"/>
  <colors>
    <mruColors>
      <color rgb="FFE7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EBF5-3C6C-4AAB-8896-C98F9728FEB5}">
  <dimension ref="A1:L13"/>
  <sheetViews>
    <sheetView workbookViewId="0">
      <selection activeCell="L3" sqref="L3"/>
    </sheetView>
  </sheetViews>
  <sheetFormatPr defaultRowHeight="14.5" x14ac:dyDescent="0.35"/>
  <cols>
    <col min="1" max="1" width="12.1796875" bestFit="1" customWidth="1"/>
    <col min="3" max="3" width="9.7265625" bestFit="1" customWidth="1"/>
    <col min="5" max="5" width="12.1796875" bestFit="1" customWidth="1"/>
    <col min="6" max="7" width="13.26953125" bestFit="1" customWidth="1"/>
    <col min="8" max="9" width="13.453125" bestFit="1" customWidth="1"/>
  </cols>
  <sheetData>
    <row r="1" spans="1:12" x14ac:dyDescent="0.35">
      <c r="A1" t="s">
        <v>18</v>
      </c>
      <c r="B1" t="s">
        <v>16</v>
      </c>
      <c r="C1" t="s">
        <v>17</v>
      </c>
      <c r="D1" t="s">
        <v>28</v>
      </c>
      <c r="E1" t="s">
        <v>29</v>
      </c>
      <c r="F1" t="s">
        <v>120</v>
      </c>
      <c r="G1" t="s">
        <v>65</v>
      </c>
      <c r="H1" t="s">
        <v>82</v>
      </c>
      <c r="I1" t="s">
        <v>83</v>
      </c>
      <c r="J1" t="s">
        <v>92</v>
      </c>
      <c r="K1" t="s">
        <v>121</v>
      </c>
      <c r="L1" t="s">
        <v>125</v>
      </c>
    </row>
    <row r="2" spans="1:12" x14ac:dyDescent="0.35">
      <c r="A2" t="s">
        <v>19</v>
      </c>
      <c r="B2" t="s">
        <v>21</v>
      </c>
      <c r="C2" t="s">
        <v>23</v>
      </c>
      <c r="D2" t="s">
        <v>30</v>
      </c>
      <c r="E2" t="s">
        <v>38</v>
      </c>
      <c r="F2" t="s">
        <v>66</v>
      </c>
      <c r="G2" t="s">
        <v>66</v>
      </c>
      <c r="H2" t="s">
        <v>85</v>
      </c>
      <c r="I2" t="s">
        <v>84</v>
      </c>
      <c r="J2" t="s">
        <v>93</v>
      </c>
      <c r="K2" t="s">
        <v>122</v>
      </c>
      <c r="L2" t="s">
        <v>126</v>
      </c>
    </row>
    <row r="3" spans="1:12" x14ac:dyDescent="0.35">
      <c r="A3" t="s">
        <v>20</v>
      </c>
      <c r="B3" t="s">
        <v>22</v>
      </c>
      <c r="C3" t="s">
        <v>24</v>
      </c>
      <c r="D3" t="s">
        <v>31</v>
      </c>
      <c r="E3" t="s">
        <v>39</v>
      </c>
      <c r="F3" t="s">
        <v>68</v>
      </c>
      <c r="G3" t="s">
        <v>67</v>
      </c>
      <c r="H3" t="s">
        <v>86</v>
      </c>
      <c r="I3" t="s">
        <v>85</v>
      </c>
      <c r="J3" t="s">
        <v>94</v>
      </c>
      <c r="K3" t="s">
        <v>123</v>
      </c>
      <c r="L3" t="s">
        <v>127</v>
      </c>
    </row>
    <row r="4" spans="1:12" x14ac:dyDescent="0.35">
      <c r="D4" t="s">
        <v>32</v>
      </c>
      <c r="E4" t="s">
        <v>40</v>
      </c>
      <c r="F4" t="s">
        <v>70</v>
      </c>
      <c r="G4" t="s">
        <v>68</v>
      </c>
      <c r="H4" t="s">
        <v>87</v>
      </c>
      <c r="I4" t="s">
        <v>86</v>
      </c>
    </row>
    <row r="5" spans="1:12" x14ac:dyDescent="0.35">
      <c r="D5" t="s">
        <v>33</v>
      </c>
      <c r="E5" t="s">
        <v>41</v>
      </c>
      <c r="F5" t="s">
        <v>72</v>
      </c>
      <c r="G5" t="s">
        <v>69</v>
      </c>
      <c r="H5" t="s">
        <v>88</v>
      </c>
      <c r="I5" t="s">
        <v>87</v>
      </c>
    </row>
    <row r="6" spans="1:12" x14ac:dyDescent="0.35">
      <c r="D6" t="s">
        <v>34</v>
      </c>
      <c r="F6" t="s">
        <v>74</v>
      </c>
      <c r="G6" t="s">
        <v>70</v>
      </c>
      <c r="I6" t="s">
        <v>88</v>
      </c>
    </row>
    <row r="7" spans="1:12" x14ac:dyDescent="0.35">
      <c r="D7" t="s">
        <v>35</v>
      </c>
      <c r="F7" t="s">
        <v>76</v>
      </c>
      <c r="G7" t="s">
        <v>71</v>
      </c>
    </row>
    <row r="8" spans="1:12" x14ac:dyDescent="0.35">
      <c r="D8" t="s">
        <v>36</v>
      </c>
      <c r="G8" t="s">
        <v>72</v>
      </c>
    </row>
    <row r="9" spans="1:12" x14ac:dyDescent="0.35">
      <c r="D9" t="s">
        <v>37</v>
      </c>
      <c r="G9" t="s">
        <v>73</v>
      </c>
    </row>
    <row r="10" spans="1:12" x14ac:dyDescent="0.35">
      <c r="G10" t="s">
        <v>74</v>
      </c>
    </row>
    <row r="11" spans="1:12" x14ac:dyDescent="0.35">
      <c r="G11" t="s">
        <v>75</v>
      </c>
    </row>
    <row r="12" spans="1:12" x14ac:dyDescent="0.35">
      <c r="G12" t="s">
        <v>76</v>
      </c>
    </row>
    <row r="13" spans="1:12" x14ac:dyDescent="0.35">
      <c r="G13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ADAC-FDF8-4423-BCD1-3BF2EA3C202F}">
  <dimension ref="A1:E5"/>
  <sheetViews>
    <sheetView workbookViewId="0">
      <selection activeCell="A3" sqref="A3:A5"/>
    </sheetView>
  </sheetViews>
  <sheetFormatPr defaultRowHeight="14.5" x14ac:dyDescent="0.35"/>
  <cols>
    <col min="1" max="1" width="23.54296875" bestFit="1" customWidth="1"/>
    <col min="2" max="2" width="9.453125" bestFit="1" customWidth="1"/>
    <col min="3" max="3" width="9.54296875" bestFit="1" customWidth="1"/>
    <col min="4" max="4" width="12" bestFit="1" customWidth="1"/>
    <col min="5" max="5" width="12.81640625" bestFit="1" customWidth="1"/>
  </cols>
  <sheetData>
    <row r="1" spans="1:5" x14ac:dyDescent="0.35">
      <c r="A1" t="s">
        <v>3</v>
      </c>
      <c r="B1" t="s">
        <v>52</v>
      </c>
      <c r="C1" t="s">
        <v>56</v>
      </c>
      <c r="D1" t="s">
        <v>100</v>
      </c>
      <c r="E1" t="s">
        <v>111</v>
      </c>
    </row>
    <row r="2" spans="1:5" x14ac:dyDescent="0.35">
      <c r="A2" t="s">
        <v>139</v>
      </c>
      <c r="B2" t="s">
        <v>53</v>
      </c>
      <c r="C2" t="s">
        <v>54</v>
      </c>
      <c r="D2" t="s">
        <v>101</v>
      </c>
      <c r="E2" t="s">
        <v>112</v>
      </c>
    </row>
    <row r="3" spans="1:5" x14ac:dyDescent="0.35">
      <c r="B3" t="s">
        <v>54</v>
      </c>
      <c r="C3" t="s">
        <v>55</v>
      </c>
      <c r="D3" t="s">
        <v>102</v>
      </c>
      <c r="E3" t="s">
        <v>115</v>
      </c>
    </row>
    <row r="4" spans="1:5" x14ac:dyDescent="0.35">
      <c r="E4" t="s">
        <v>113</v>
      </c>
    </row>
    <row r="5" spans="1:5" x14ac:dyDescent="0.35">
      <c r="E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B0F9-4C07-4A55-972A-C376DE6DBFDC}">
  <dimension ref="B3:O37"/>
  <sheetViews>
    <sheetView tabSelected="1" workbookViewId="0">
      <selection activeCell="B4" sqref="B4:O7"/>
    </sheetView>
  </sheetViews>
  <sheetFormatPr defaultColWidth="9.1796875" defaultRowHeight="14" x14ac:dyDescent="0.35"/>
  <cols>
    <col min="1" max="16384" width="9.1796875" style="1"/>
  </cols>
  <sheetData>
    <row r="3" spans="2:15" x14ac:dyDescent="0.35">
      <c r="B3" s="36" t="s">
        <v>0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2:15" ht="14.25" customHeight="1" x14ac:dyDescent="0.35">
      <c r="B4" s="39" t="s">
        <v>148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1"/>
    </row>
    <row r="5" spans="2:15" x14ac:dyDescent="0.35">
      <c r="B5" s="42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4"/>
    </row>
    <row r="6" spans="2:15" x14ac:dyDescent="0.35">
      <c r="B6" s="42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4"/>
    </row>
    <row r="7" spans="2:15" x14ac:dyDescent="0.35"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7"/>
    </row>
    <row r="9" spans="2:15" x14ac:dyDescent="0.35">
      <c r="B9" s="27" t="s">
        <v>1</v>
      </c>
      <c r="C9" s="28"/>
      <c r="D9" s="28"/>
      <c r="E9" s="29"/>
      <c r="G9" s="27" t="s">
        <v>11</v>
      </c>
      <c r="H9" s="28"/>
      <c r="I9" s="28"/>
      <c r="J9" s="29"/>
      <c r="L9" s="27" t="s">
        <v>50</v>
      </c>
      <c r="M9" s="28"/>
      <c r="N9" s="28"/>
      <c r="O9" s="29"/>
    </row>
    <row r="10" spans="2:15" x14ac:dyDescent="0.35">
      <c r="B10" s="30" t="s">
        <v>2</v>
      </c>
      <c r="C10" s="31"/>
      <c r="D10" s="31"/>
      <c r="E10" s="32"/>
      <c r="G10" s="30" t="s">
        <v>12</v>
      </c>
      <c r="H10" s="31"/>
      <c r="I10" s="31"/>
      <c r="J10" s="32"/>
      <c r="L10" s="30" t="s">
        <v>51</v>
      </c>
      <c r="M10" s="31"/>
      <c r="N10" s="31"/>
      <c r="O10" s="32"/>
    </row>
    <row r="11" spans="2:15" x14ac:dyDescent="0.35">
      <c r="B11" s="33"/>
      <c r="C11" s="34"/>
      <c r="D11" s="34"/>
      <c r="E11" s="35"/>
      <c r="G11" s="33"/>
      <c r="H11" s="34"/>
      <c r="I11" s="34"/>
      <c r="J11" s="2"/>
      <c r="L11" s="33"/>
      <c r="M11" s="34"/>
      <c r="N11" s="34"/>
      <c r="O11" s="35"/>
    </row>
    <row r="12" spans="2:15" x14ac:dyDescent="0.35">
      <c r="B12" s="48" t="s">
        <v>3</v>
      </c>
      <c r="C12" s="49"/>
      <c r="D12" s="49"/>
      <c r="E12" s="50"/>
      <c r="G12" s="30" t="s">
        <v>13</v>
      </c>
      <c r="H12" s="31"/>
      <c r="I12" s="31"/>
      <c r="J12" s="32"/>
      <c r="L12" s="30" t="s">
        <v>57</v>
      </c>
      <c r="M12" s="31"/>
      <c r="N12" s="31"/>
      <c r="O12" s="32"/>
    </row>
    <row r="13" spans="2:15" x14ac:dyDescent="0.35">
      <c r="B13" s="33"/>
      <c r="C13" s="34"/>
      <c r="D13" s="34"/>
      <c r="E13" s="35"/>
      <c r="G13" s="33"/>
      <c r="H13" s="34"/>
      <c r="I13" s="34"/>
      <c r="J13" s="2"/>
      <c r="L13" s="33"/>
      <c r="M13" s="34"/>
      <c r="N13" s="34"/>
      <c r="O13" s="35"/>
    </row>
    <row r="14" spans="2:15" x14ac:dyDescent="0.35">
      <c r="B14" s="48" t="s">
        <v>145</v>
      </c>
      <c r="C14" s="49"/>
      <c r="D14" s="49"/>
      <c r="E14" s="50"/>
      <c r="G14" s="30" t="s">
        <v>14</v>
      </c>
      <c r="H14" s="31"/>
      <c r="I14" s="31"/>
      <c r="J14" s="32"/>
    </row>
    <row r="15" spans="2:15" x14ac:dyDescent="0.35">
      <c r="B15" s="51"/>
      <c r="C15" s="34"/>
      <c r="D15" s="34"/>
      <c r="E15" s="35"/>
      <c r="G15" s="33"/>
      <c r="H15" s="34"/>
      <c r="I15" s="34"/>
      <c r="J15" s="2"/>
    </row>
    <row r="16" spans="2:15" x14ac:dyDescent="0.35">
      <c r="B16" s="48" t="s">
        <v>4</v>
      </c>
      <c r="C16" s="49"/>
      <c r="D16" s="49"/>
      <c r="E16" s="50"/>
      <c r="G16" s="30" t="s">
        <v>15</v>
      </c>
      <c r="H16" s="31"/>
      <c r="I16" s="31"/>
      <c r="J16" s="32"/>
    </row>
    <row r="17" spans="2:10" x14ac:dyDescent="0.35">
      <c r="B17" s="33"/>
      <c r="C17" s="34"/>
      <c r="D17" s="34"/>
      <c r="E17" s="35"/>
      <c r="G17" s="33"/>
      <c r="H17" s="34"/>
      <c r="I17" s="34"/>
      <c r="J17" s="2"/>
    </row>
    <row r="18" spans="2:10" x14ac:dyDescent="0.35">
      <c r="B18" s="48" t="s">
        <v>5</v>
      </c>
      <c r="C18" s="50"/>
      <c r="D18" s="49" t="s">
        <v>6</v>
      </c>
      <c r="E18" s="50"/>
      <c r="G18" s="30" t="s">
        <v>16</v>
      </c>
      <c r="H18" s="31"/>
      <c r="I18" s="31"/>
      <c r="J18" s="32"/>
    </row>
    <row r="19" spans="2:10" x14ac:dyDescent="0.35">
      <c r="B19" s="33"/>
      <c r="C19" s="35"/>
      <c r="D19" s="34"/>
      <c r="E19" s="35"/>
      <c r="G19" s="33"/>
      <c r="H19" s="34"/>
      <c r="I19" s="34"/>
      <c r="J19" s="2"/>
    </row>
    <row r="20" spans="2:10" x14ac:dyDescent="0.35">
      <c r="B20" s="48" t="s">
        <v>7</v>
      </c>
      <c r="C20" s="50"/>
      <c r="D20" s="49" t="s">
        <v>8</v>
      </c>
      <c r="E20" s="50"/>
      <c r="G20" s="30" t="s">
        <v>17</v>
      </c>
      <c r="H20" s="31"/>
      <c r="I20" s="31"/>
      <c r="J20" s="32"/>
    </row>
    <row r="21" spans="2:10" x14ac:dyDescent="0.35">
      <c r="B21" s="33"/>
      <c r="C21" s="35"/>
      <c r="D21" s="34"/>
      <c r="E21" s="35"/>
      <c r="G21" s="33"/>
      <c r="H21" s="34"/>
      <c r="I21" s="34"/>
      <c r="J21" s="2"/>
    </row>
    <row r="22" spans="2:10" x14ac:dyDescent="0.35">
      <c r="B22" s="48" t="s">
        <v>9</v>
      </c>
      <c r="C22" s="49"/>
      <c r="D22" s="49"/>
      <c r="E22" s="50"/>
    </row>
    <row r="23" spans="2:10" x14ac:dyDescent="0.35">
      <c r="B23" s="33"/>
      <c r="C23" s="34"/>
      <c r="D23" s="34"/>
      <c r="E23" s="35"/>
      <c r="G23" s="27" t="s">
        <v>42</v>
      </c>
      <c r="H23" s="28"/>
      <c r="I23" s="28"/>
      <c r="J23" s="29"/>
    </row>
    <row r="24" spans="2:10" x14ac:dyDescent="0.35">
      <c r="B24" s="48" t="s">
        <v>10</v>
      </c>
      <c r="C24" s="49"/>
      <c r="D24" s="49"/>
      <c r="E24" s="50"/>
      <c r="G24" s="30" t="s">
        <v>43</v>
      </c>
      <c r="H24" s="31"/>
      <c r="I24" s="31"/>
      <c r="J24" s="32"/>
    </row>
    <row r="25" spans="2:10" x14ac:dyDescent="0.35">
      <c r="B25" s="33"/>
      <c r="C25" s="34"/>
      <c r="D25" s="34"/>
      <c r="E25" s="35"/>
      <c r="G25" s="33"/>
      <c r="H25" s="34"/>
      <c r="I25" s="34"/>
      <c r="J25" s="2"/>
    </row>
    <row r="26" spans="2:10" x14ac:dyDescent="0.35">
      <c r="G26" s="30" t="s">
        <v>44</v>
      </c>
      <c r="H26" s="31"/>
      <c r="I26" s="31"/>
      <c r="J26" s="32"/>
    </row>
    <row r="27" spans="2:10" x14ac:dyDescent="0.35">
      <c r="B27" s="27" t="s">
        <v>25</v>
      </c>
      <c r="C27" s="28"/>
      <c r="D27" s="28"/>
      <c r="E27" s="29"/>
      <c r="G27" s="33"/>
      <c r="H27" s="34"/>
      <c r="I27" s="34"/>
      <c r="J27" s="2"/>
    </row>
    <row r="28" spans="2:10" x14ac:dyDescent="0.35">
      <c r="B28" s="30" t="s">
        <v>26</v>
      </c>
      <c r="C28" s="31"/>
      <c r="D28" s="31"/>
      <c r="E28" s="32"/>
      <c r="G28" s="30" t="s">
        <v>45</v>
      </c>
      <c r="H28" s="31"/>
      <c r="I28" s="31"/>
      <c r="J28" s="32"/>
    </row>
    <row r="29" spans="2:10" x14ac:dyDescent="0.35">
      <c r="B29" s="33"/>
      <c r="C29" s="34"/>
      <c r="D29" s="34"/>
      <c r="E29" s="2"/>
      <c r="G29" s="33"/>
      <c r="H29" s="34"/>
      <c r="I29" s="34"/>
      <c r="J29" s="2"/>
    </row>
    <row r="30" spans="2:10" x14ac:dyDescent="0.35">
      <c r="B30" s="30" t="s">
        <v>27</v>
      </c>
      <c r="C30" s="31"/>
      <c r="D30" s="31"/>
      <c r="E30" s="32"/>
      <c r="G30" s="30" t="s">
        <v>46</v>
      </c>
      <c r="H30" s="31"/>
      <c r="I30" s="31"/>
      <c r="J30" s="32"/>
    </row>
    <row r="31" spans="2:10" x14ac:dyDescent="0.35">
      <c r="B31" s="33"/>
      <c r="C31" s="34"/>
      <c r="D31" s="34"/>
      <c r="E31" s="2"/>
      <c r="G31" s="33"/>
      <c r="H31" s="34"/>
      <c r="I31" s="34"/>
      <c r="J31" s="2"/>
    </row>
    <row r="32" spans="2:10" x14ac:dyDescent="0.35">
      <c r="G32" s="30" t="s">
        <v>47</v>
      </c>
      <c r="H32" s="31"/>
      <c r="I32" s="31"/>
      <c r="J32" s="32"/>
    </row>
    <row r="33" spans="7:10" x14ac:dyDescent="0.35">
      <c r="G33" s="33"/>
      <c r="H33" s="34"/>
      <c r="I33" s="34"/>
      <c r="J33" s="2"/>
    </row>
    <row r="34" spans="7:10" x14ac:dyDescent="0.35">
      <c r="G34" s="30" t="s">
        <v>48</v>
      </c>
      <c r="H34" s="31"/>
      <c r="I34" s="31"/>
      <c r="J34" s="32"/>
    </row>
    <row r="35" spans="7:10" x14ac:dyDescent="0.35">
      <c r="G35" s="33"/>
      <c r="H35" s="34"/>
      <c r="I35" s="34"/>
      <c r="J35" s="2"/>
    </row>
    <row r="36" spans="7:10" x14ac:dyDescent="0.35">
      <c r="G36" s="30" t="s">
        <v>49</v>
      </c>
      <c r="H36" s="31"/>
      <c r="I36" s="31"/>
      <c r="J36" s="32"/>
    </row>
    <row r="37" spans="7:10" x14ac:dyDescent="0.35">
      <c r="G37" s="33"/>
      <c r="H37" s="34"/>
      <c r="I37" s="34"/>
      <c r="J37" s="2"/>
    </row>
  </sheetData>
  <mergeCells count="61">
    <mergeCell ref="B9:E9"/>
    <mergeCell ref="B12:E12"/>
    <mergeCell ref="B13:E13"/>
    <mergeCell ref="B15:E15"/>
    <mergeCell ref="B16:E16"/>
    <mergeCell ref="B10:E10"/>
    <mergeCell ref="B11:E11"/>
    <mergeCell ref="B23:E23"/>
    <mergeCell ref="B17:E17"/>
    <mergeCell ref="B14:E14"/>
    <mergeCell ref="B18:C18"/>
    <mergeCell ref="D18:E18"/>
    <mergeCell ref="B19:C19"/>
    <mergeCell ref="D19:E19"/>
    <mergeCell ref="B20:C20"/>
    <mergeCell ref="D20:E20"/>
    <mergeCell ref="B21:C21"/>
    <mergeCell ref="D21:E21"/>
    <mergeCell ref="B22:E22"/>
    <mergeCell ref="G9:J9"/>
    <mergeCell ref="G10:J10"/>
    <mergeCell ref="G12:J12"/>
    <mergeCell ref="G14:J14"/>
    <mergeCell ref="G16:J16"/>
    <mergeCell ref="G35:I35"/>
    <mergeCell ref="G36:J36"/>
    <mergeCell ref="G37:I37"/>
    <mergeCell ref="B31:D31"/>
    <mergeCell ref="G23:J23"/>
    <mergeCell ref="G24:J24"/>
    <mergeCell ref="G25:I25"/>
    <mergeCell ref="G26:J26"/>
    <mergeCell ref="G27:I27"/>
    <mergeCell ref="G28:J28"/>
    <mergeCell ref="G29:I29"/>
    <mergeCell ref="G30:J30"/>
    <mergeCell ref="G31:I31"/>
    <mergeCell ref="B27:E27"/>
    <mergeCell ref="B28:E28"/>
    <mergeCell ref="B29:D29"/>
    <mergeCell ref="B3:O3"/>
    <mergeCell ref="B4:O7"/>
    <mergeCell ref="G32:J32"/>
    <mergeCell ref="G33:I33"/>
    <mergeCell ref="G34:J34"/>
    <mergeCell ref="G21:I21"/>
    <mergeCell ref="B30:E30"/>
    <mergeCell ref="G18:J18"/>
    <mergeCell ref="G20:J20"/>
    <mergeCell ref="G11:I11"/>
    <mergeCell ref="G13:I13"/>
    <mergeCell ref="G15:I15"/>
    <mergeCell ref="G17:I17"/>
    <mergeCell ref="G19:I19"/>
    <mergeCell ref="B24:E24"/>
    <mergeCell ref="B25:E25"/>
    <mergeCell ref="L9:O9"/>
    <mergeCell ref="L10:O10"/>
    <mergeCell ref="L11:O11"/>
    <mergeCell ref="L12:O12"/>
    <mergeCell ref="L13:O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9F752E-D6D5-4B93-A232-A5C99A3F2294}">
          <x14:formula1>
            <xm:f>units!$A$2:$A$3</xm:f>
          </x14:formula1>
          <xm:sqref>J11 J13 J15 J17</xm:sqref>
        </x14:dataValidation>
        <x14:dataValidation type="list" allowBlank="1" showInputMessage="1" showErrorMessage="1" xr:uid="{2B9BE8DB-A772-4010-875E-194C44D9D709}">
          <x14:formula1>
            <xm:f>units!$B$2:$B$3</xm:f>
          </x14:formula1>
          <xm:sqref>J19</xm:sqref>
        </x14:dataValidation>
        <x14:dataValidation type="list" allowBlank="1" showInputMessage="1" showErrorMessage="1" xr:uid="{D1BCE71C-7B38-4372-A1AF-6307E941DD77}">
          <x14:formula1>
            <xm:f>units!$C$2:$C$3</xm:f>
          </x14:formula1>
          <xm:sqref>J21</xm:sqref>
        </x14:dataValidation>
        <x14:dataValidation type="list" allowBlank="1" showInputMessage="1" showErrorMessage="1" xr:uid="{BC48F4B0-349B-44E2-A59C-861E46B30FC9}">
          <x14:formula1>
            <xm:f>units!$D$2:$D$9</xm:f>
          </x14:formula1>
          <xm:sqref>E29 J25 J29 J33 J37</xm:sqref>
        </x14:dataValidation>
        <x14:dataValidation type="list" allowBlank="1" showInputMessage="1" showErrorMessage="1" xr:uid="{A71E9C5A-6763-4744-B26D-E4B075D26B9B}">
          <x14:formula1>
            <xm:f>units!$E$2:$E$5</xm:f>
          </x14:formula1>
          <xm:sqref>E31 J27 J31 J35</xm:sqref>
        </x14:dataValidation>
        <x14:dataValidation type="list" allowBlank="1" showInputMessage="1" showErrorMessage="1" xr:uid="{F157675C-D3D3-4B92-866D-DE7EB7E83866}">
          <x14:formula1>
            <xm:f>'sample options'!$A$2</xm:f>
          </x14:formula1>
          <xm:sqref>B13:E13</xm:sqref>
        </x14:dataValidation>
        <x14:dataValidation type="list" allowBlank="1" showInputMessage="1" showErrorMessage="1" xr:uid="{197D1B43-91CC-4649-99E6-06CB2717C14C}">
          <x14:formula1>
            <xm:f>'sample options'!$B$2:$B$3</xm:f>
          </x14:formula1>
          <xm:sqref>L11:O11</xm:sqref>
        </x14:dataValidation>
        <x14:dataValidation type="list" allowBlank="1" showInputMessage="1" showErrorMessage="1" xr:uid="{2573C410-5A70-4A90-9F13-FAEB8F8A4849}">
          <x14:formula1>
            <xm:f>'sample options'!$C$2:$C$3</xm:f>
          </x14:formula1>
          <xm:sqref>L13:O13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B4A2-CB76-4EF7-B378-CEA89CE67C85}">
  <dimension ref="B2:Y7"/>
  <sheetViews>
    <sheetView workbookViewId="0"/>
  </sheetViews>
  <sheetFormatPr defaultColWidth="9.1796875" defaultRowHeight="14" x14ac:dyDescent="0.35"/>
  <cols>
    <col min="1" max="1" width="9.1796875" style="1"/>
    <col min="2" max="2" width="12.7265625" style="1" bestFit="1" customWidth="1"/>
    <col min="3" max="3" width="11.1796875" style="1" customWidth="1"/>
    <col min="4" max="5" width="10.54296875" style="1" customWidth="1"/>
    <col min="6" max="6" width="9.1796875" style="1"/>
    <col min="7" max="7" width="12.7265625" style="1" bestFit="1" customWidth="1"/>
    <col min="8" max="8" width="11.1796875" style="1" customWidth="1"/>
    <col min="9" max="10" width="10.54296875" style="1" customWidth="1"/>
    <col min="11" max="11" width="9.1796875" style="1"/>
    <col min="12" max="12" width="12.7265625" style="1" bestFit="1" customWidth="1"/>
    <col min="13" max="13" width="11.1796875" style="1" customWidth="1"/>
    <col min="14" max="15" width="10.54296875" style="1" customWidth="1"/>
    <col min="16" max="16" width="9.1796875" style="1"/>
    <col min="17" max="17" width="12.7265625" style="1" bestFit="1" customWidth="1"/>
    <col min="18" max="18" width="11.1796875" style="1" customWidth="1"/>
    <col min="19" max="20" width="10.54296875" style="1" customWidth="1"/>
    <col min="21" max="21" width="9.1796875" style="1"/>
    <col min="22" max="22" width="12.7265625" style="1" bestFit="1" customWidth="1"/>
    <col min="23" max="23" width="11.1796875" style="1" customWidth="1"/>
    <col min="24" max="25" width="10.54296875" style="1" customWidth="1"/>
    <col min="26" max="16384" width="9.1796875" style="1"/>
  </cols>
  <sheetData>
    <row r="2" spans="2:25" x14ac:dyDescent="0.35">
      <c r="B2" s="27" t="s">
        <v>78</v>
      </c>
      <c r="C2" s="54"/>
      <c r="D2" s="54"/>
      <c r="E2" s="55"/>
      <c r="G2" s="27" t="s">
        <v>140</v>
      </c>
      <c r="H2" s="54"/>
      <c r="I2" s="54"/>
      <c r="J2" s="55"/>
      <c r="L2" s="27" t="s">
        <v>141</v>
      </c>
      <c r="M2" s="54"/>
      <c r="N2" s="54"/>
      <c r="O2" s="55"/>
      <c r="Q2" s="27" t="s">
        <v>142</v>
      </c>
      <c r="R2" s="54"/>
      <c r="S2" s="54"/>
      <c r="T2" s="55"/>
      <c r="V2" s="27" t="s">
        <v>143</v>
      </c>
      <c r="W2" s="54"/>
      <c r="X2" s="54"/>
      <c r="Y2" s="55"/>
    </row>
    <row r="3" spans="2:25" x14ac:dyDescent="0.35">
      <c r="B3" s="56" t="s">
        <v>79</v>
      </c>
      <c r="C3" s="57"/>
      <c r="D3" s="58"/>
      <c r="E3" s="59"/>
      <c r="G3" s="56" t="s">
        <v>79</v>
      </c>
      <c r="H3" s="57"/>
      <c r="I3" s="58"/>
      <c r="J3" s="59"/>
      <c r="L3" s="56" t="s">
        <v>79</v>
      </c>
      <c r="M3" s="57"/>
      <c r="N3" s="58"/>
      <c r="O3" s="59"/>
      <c r="Q3" s="56" t="s">
        <v>79</v>
      </c>
      <c r="R3" s="57"/>
      <c r="S3" s="58"/>
      <c r="T3" s="59"/>
      <c r="V3" s="56" t="s">
        <v>79</v>
      </c>
      <c r="W3" s="57"/>
      <c r="X3" s="58"/>
      <c r="Y3" s="59"/>
    </row>
    <row r="4" spans="2:25" x14ac:dyDescent="0.35">
      <c r="B4" s="52" t="s">
        <v>80</v>
      </c>
      <c r="C4" s="53"/>
      <c r="D4" s="13"/>
      <c r="E4" s="17"/>
      <c r="G4" s="52" t="s">
        <v>146</v>
      </c>
      <c r="H4" s="53"/>
      <c r="I4" s="13"/>
      <c r="J4" s="17"/>
      <c r="L4" s="52" t="s">
        <v>80</v>
      </c>
      <c r="M4" s="53"/>
      <c r="N4" s="13"/>
      <c r="O4" s="17"/>
      <c r="Q4" s="52" t="s">
        <v>81</v>
      </c>
      <c r="R4" s="53"/>
      <c r="S4" s="13"/>
      <c r="T4" s="17"/>
      <c r="V4" s="52" t="s">
        <v>89</v>
      </c>
      <c r="W4" s="53"/>
      <c r="X4" s="13"/>
      <c r="Y4" s="17"/>
    </row>
    <row r="5" spans="2:25" x14ac:dyDescent="0.35">
      <c r="B5" s="52" t="s">
        <v>91</v>
      </c>
      <c r="C5" s="53"/>
      <c r="D5" s="9"/>
      <c r="E5" s="16"/>
      <c r="G5" s="52" t="s">
        <v>147</v>
      </c>
      <c r="H5" s="53"/>
      <c r="I5" s="9"/>
      <c r="J5" s="16"/>
      <c r="L5" s="52" t="s">
        <v>89</v>
      </c>
      <c r="M5" s="53"/>
      <c r="N5" s="13"/>
      <c r="O5" s="17"/>
      <c r="Q5" s="52" t="s">
        <v>90</v>
      </c>
      <c r="R5" s="53"/>
      <c r="S5" s="9"/>
      <c r="T5" s="2"/>
      <c r="V5" s="52" t="s">
        <v>91</v>
      </c>
      <c r="W5" s="53"/>
      <c r="X5" s="9"/>
      <c r="Y5" s="16"/>
    </row>
    <row r="6" spans="2:25" x14ac:dyDescent="0.35">
      <c r="B6" s="3" t="s">
        <v>58</v>
      </c>
      <c r="C6" s="4" t="s">
        <v>60</v>
      </c>
      <c r="D6" s="4" t="s">
        <v>62</v>
      </c>
      <c r="E6" s="5" t="s">
        <v>64</v>
      </c>
      <c r="G6" s="3" t="s">
        <v>58</v>
      </c>
      <c r="H6" s="4" t="s">
        <v>60</v>
      </c>
      <c r="I6" s="4" t="s">
        <v>62</v>
      </c>
      <c r="J6" s="5" t="s">
        <v>64</v>
      </c>
      <c r="L6" s="3" t="s">
        <v>58</v>
      </c>
      <c r="M6" s="4" t="s">
        <v>60</v>
      </c>
      <c r="N6" s="4" t="s">
        <v>62</v>
      </c>
      <c r="O6" s="5" t="s">
        <v>64</v>
      </c>
      <c r="Q6" s="3" t="s">
        <v>58</v>
      </c>
      <c r="R6" s="4" t="s">
        <v>60</v>
      </c>
      <c r="S6" s="4" t="s">
        <v>62</v>
      </c>
      <c r="T6" s="5" t="s">
        <v>64</v>
      </c>
      <c r="V6" s="3" t="s">
        <v>58</v>
      </c>
      <c r="W6" s="4" t="s">
        <v>60</v>
      </c>
      <c r="X6" s="4" t="s">
        <v>62</v>
      </c>
      <c r="Y6" s="5" t="s">
        <v>64</v>
      </c>
    </row>
    <row r="7" spans="2:25" x14ac:dyDescent="0.35">
      <c r="B7" s="6" t="s">
        <v>59</v>
      </c>
      <c r="C7" s="7" t="s">
        <v>61</v>
      </c>
      <c r="D7" s="7" t="s">
        <v>63</v>
      </c>
      <c r="E7" s="8" t="s">
        <v>63</v>
      </c>
      <c r="G7" s="6" t="s">
        <v>59</v>
      </c>
      <c r="H7" s="7" t="s">
        <v>61</v>
      </c>
      <c r="I7" s="7" t="s">
        <v>63</v>
      </c>
      <c r="J7" s="8" t="s">
        <v>63</v>
      </c>
      <c r="L7" s="6" t="s">
        <v>59</v>
      </c>
      <c r="M7" s="7" t="s">
        <v>61</v>
      </c>
      <c r="N7" s="7" t="s">
        <v>63</v>
      </c>
      <c r="O7" s="8" t="s">
        <v>63</v>
      </c>
      <c r="Q7" s="6" t="s">
        <v>59</v>
      </c>
      <c r="R7" s="7" t="s">
        <v>61</v>
      </c>
      <c r="S7" s="7" t="s">
        <v>63</v>
      </c>
      <c r="T7" s="8" t="s">
        <v>63</v>
      </c>
      <c r="V7" s="6" t="s">
        <v>59</v>
      </c>
      <c r="W7" s="7" t="s">
        <v>61</v>
      </c>
      <c r="X7" s="7" t="s">
        <v>63</v>
      </c>
      <c r="Y7" s="8" t="s">
        <v>63</v>
      </c>
    </row>
  </sheetData>
  <mergeCells count="25">
    <mergeCell ref="Q5:R5"/>
    <mergeCell ref="V5:W5"/>
    <mergeCell ref="B5:C5"/>
    <mergeCell ref="Q2:T2"/>
    <mergeCell ref="Q3:R3"/>
    <mergeCell ref="S3:T3"/>
    <mergeCell ref="Q4:R4"/>
    <mergeCell ref="V2:Y2"/>
    <mergeCell ref="V3:W3"/>
    <mergeCell ref="X3:Y3"/>
    <mergeCell ref="V4:W4"/>
    <mergeCell ref="B2:E2"/>
    <mergeCell ref="B3:C3"/>
    <mergeCell ref="D3:E3"/>
    <mergeCell ref="B4:C4"/>
    <mergeCell ref="G2:J2"/>
    <mergeCell ref="G4:H4"/>
    <mergeCell ref="L5:M5"/>
    <mergeCell ref="G5:H5"/>
    <mergeCell ref="L4:M4"/>
    <mergeCell ref="L2:O2"/>
    <mergeCell ref="G3:H3"/>
    <mergeCell ref="I3:J3"/>
    <mergeCell ref="L3:M3"/>
    <mergeCell ref="N3:O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8EF6508-365E-4481-B436-BE60B179C588}">
            <xm:f>IF('General Info'!$L$13:$O$13&lt;&gt;"Oil",1,0)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 style="thin">
                  <color auto="1"/>
                </top>
              </border>
            </x14:dxf>
          </x14:cfRule>
          <xm:sqref>B5:E5 V5:Y5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6106DB0-C5B5-42D3-B252-246DE30D7176}">
          <x14:formula1>
            <xm:f>units!$G$2:$G$13</xm:f>
          </x14:formula1>
          <xm:sqref>E4 O4</xm:sqref>
        </x14:dataValidation>
        <x14:dataValidation type="list" allowBlank="1" showInputMessage="1" showErrorMessage="1" xr:uid="{5F137B23-A649-4F93-82EE-9DEF4EF1F24C}">
          <x14:formula1>
            <xm:f>units!$H$2:$H$5</xm:f>
          </x14:formula1>
          <xm:sqref>Y4 O5</xm:sqref>
        </x14:dataValidation>
        <x14:dataValidation type="list" allowBlank="1" showInputMessage="1" showErrorMessage="1" xr:uid="{1246A18F-8B2F-4196-8AC9-292C7AD918E4}">
          <x14:formula1>
            <xm:f>units!$I$2:$I$6</xm:f>
          </x14:formula1>
          <xm:sqref>T4</xm:sqref>
        </x14:dataValidation>
        <x14:dataValidation type="list" allowBlank="1" showInputMessage="1" showErrorMessage="1" xr:uid="{46BAACA9-3DFD-43BB-A318-DF3D7D73EE94}">
          <x14:formula1>
            <xm:f>units!$E$2:$E$5</xm:f>
          </x14:formula1>
          <xm:sqref>T5 J5</xm:sqref>
        </x14:dataValidation>
        <x14:dataValidation type="list" allowBlank="1" showInputMessage="1" showErrorMessage="1" xr:uid="{119C18BC-664C-426D-8C91-14FD423F5FF6}">
          <x14:formula1>
            <xm:f>units!$J$2:$J$3</xm:f>
          </x14:formula1>
          <xm:sqref>Y5 E5</xm:sqref>
        </x14:dataValidation>
        <x14:dataValidation type="list" allowBlank="1" showInputMessage="1" showErrorMessage="1" xr:uid="{BFCC675A-5CAB-4C79-B4ED-DF9D9D901556}">
          <x14:formula1>
            <xm:f>units!$D$2:$D$9</xm:f>
          </x14:formula1>
          <xm:sqref>J4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578D-8FFF-4AF5-B8A9-FD16AAC04617}">
  <dimension ref="B2:M33"/>
  <sheetViews>
    <sheetView workbookViewId="0"/>
  </sheetViews>
  <sheetFormatPr defaultColWidth="9.1796875" defaultRowHeight="14" x14ac:dyDescent="0.35"/>
  <cols>
    <col min="1" max="2" width="9.1796875" style="1"/>
    <col min="3" max="3" width="9.54296875" style="1" bestFit="1" customWidth="1"/>
    <col min="4" max="4" width="9.1796875" style="1"/>
    <col min="5" max="5" width="11.81640625" style="1" bestFit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4.54296875" style="1" bestFit="1" customWidth="1"/>
    <col min="12" max="12" width="15" style="1" bestFit="1" customWidth="1"/>
    <col min="13" max="16384" width="9.1796875" style="1"/>
  </cols>
  <sheetData>
    <row r="2" spans="2:13" ht="14.25" customHeight="1" x14ac:dyDescent="0.35">
      <c r="H2" s="60" t="s">
        <v>117</v>
      </c>
      <c r="I2" s="60"/>
      <c r="J2" s="60"/>
      <c r="K2" s="60"/>
      <c r="L2" s="60"/>
      <c r="M2" s="60"/>
    </row>
    <row r="3" spans="2:13" x14ac:dyDescent="0.35">
      <c r="B3" s="27" t="s">
        <v>103</v>
      </c>
      <c r="C3" s="28"/>
      <c r="D3" s="28"/>
      <c r="E3" s="28"/>
      <c r="F3" s="29"/>
      <c r="H3" s="27" t="s">
        <v>104</v>
      </c>
      <c r="I3" s="28"/>
      <c r="J3" s="28"/>
      <c r="K3" s="28"/>
      <c r="L3" s="28"/>
      <c r="M3" s="29"/>
    </row>
    <row r="4" spans="2:13" x14ac:dyDescent="0.35">
      <c r="B4" s="56" t="s">
        <v>97</v>
      </c>
      <c r="C4" s="57"/>
      <c r="D4" s="57"/>
      <c r="E4" s="58"/>
      <c r="F4" s="59"/>
      <c r="H4" s="3"/>
      <c r="I4" s="4"/>
      <c r="J4" s="4" t="s">
        <v>106</v>
      </c>
      <c r="K4" s="4" t="s">
        <v>109</v>
      </c>
      <c r="L4" s="4" t="s">
        <v>106</v>
      </c>
      <c r="M4" s="5"/>
    </row>
    <row r="5" spans="2:13" x14ac:dyDescent="0.35">
      <c r="B5" s="52" t="s">
        <v>98</v>
      </c>
      <c r="C5" s="53"/>
      <c r="D5" s="53"/>
      <c r="E5" s="14"/>
      <c r="F5" s="24"/>
      <c r="H5" s="18" t="s">
        <v>105</v>
      </c>
      <c r="I5" s="15" t="s">
        <v>28</v>
      </c>
      <c r="J5" s="15" t="s">
        <v>107</v>
      </c>
      <c r="K5" s="15" t="s">
        <v>95</v>
      </c>
      <c r="L5" s="15" t="s">
        <v>110</v>
      </c>
      <c r="M5" s="19" t="s">
        <v>116</v>
      </c>
    </row>
    <row r="6" spans="2:13" x14ac:dyDescent="0.35">
      <c r="B6" s="61" t="s">
        <v>99</v>
      </c>
      <c r="C6" s="62"/>
      <c r="D6" s="62"/>
      <c r="E6" s="10"/>
      <c r="F6" s="2"/>
      <c r="H6" s="21"/>
      <c r="I6" s="22" t="s">
        <v>32</v>
      </c>
      <c r="J6" s="22" t="s">
        <v>108</v>
      </c>
      <c r="K6" s="22" t="s">
        <v>86</v>
      </c>
      <c r="L6" s="22" t="s">
        <v>115</v>
      </c>
      <c r="M6" s="23" t="s">
        <v>108</v>
      </c>
    </row>
    <row r="7" spans="2:13" x14ac:dyDescent="0.35">
      <c r="H7" s="1">
        <v>1</v>
      </c>
    </row>
    <row r="8" spans="2:13" x14ac:dyDescent="0.35">
      <c r="H8" s="1">
        <v>2</v>
      </c>
    </row>
    <row r="9" spans="2:13" x14ac:dyDescent="0.35">
      <c r="H9" s="1">
        <v>3</v>
      </c>
    </row>
    <row r="10" spans="2:13" x14ac:dyDescent="0.35">
      <c r="H10" s="1">
        <v>4</v>
      </c>
    </row>
    <row r="11" spans="2:13" x14ac:dyDescent="0.35">
      <c r="H11" s="1">
        <v>5</v>
      </c>
    </row>
    <row r="12" spans="2:13" x14ac:dyDescent="0.35">
      <c r="H12" s="1">
        <v>6</v>
      </c>
    </row>
    <row r="13" spans="2:13" x14ac:dyDescent="0.35">
      <c r="H13" s="1">
        <v>7</v>
      </c>
    </row>
    <row r="14" spans="2:13" x14ac:dyDescent="0.35">
      <c r="H14" s="1">
        <v>8</v>
      </c>
    </row>
    <row r="15" spans="2:13" x14ac:dyDescent="0.35">
      <c r="H15" s="1">
        <v>9</v>
      </c>
    </row>
    <row r="16" spans="2:13" x14ac:dyDescent="0.35">
      <c r="H16" s="1">
        <v>10</v>
      </c>
    </row>
    <row r="17" spans="8:8" x14ac:dyDescent="0.35">
      <c r="H17" s="1">
        <v>11</v>
      </c>
    </row>
    <row r="18" spans="8:8" x14ac:dyDescent="0.35">
      <c r="H18" s="1">
        <v>12</v>
      </c>
    </row>
    <row r="19" spans="8:8" x14ac:dyDescent="0.35">
      <c r="H19" s="1">
        <v>13</v>
      </c>
    </row>
    <row r="20" spans="8:8" x14ac:dyDescent="0.35">
      <c r="H20" s="1">
        <v>14</v>
      </c>
    </row>
    <row r="21" spans="8:8" x14ac:dyDescent="0.35">
      <c r="H21" s="1">
        <v>15</v>
      </c>
    </row>
    <row r="22" spans="8:8" x14ac:dyDescent="0.35">
      <c r="H22" s="1">
        <v>16</v>
      </c>
    </row>
    <row r="23" spans="8:8" x14ac:dyDescent="0.35">
      <c r="H23" s="1">
        <v>17</v>
      </c>
    </row>
    <row r="24" spans="8:8" x14ac:dyDescent="0.35">
      <c r="H24" s="1">
        <v>18</v>
      </c>
    </row>
    <row r="25" spans="8:8" x14ac:dyDescent="0.35">
      <c r="H25" s="1">
        <v>19</v>
      </c>
    </row>
    <row r="26" spans="8:8" x14ac:dyDescent="0.35">
      <c r="H26" s="1">
        <v>20</v>
      </c>
    </row>
    <row r="27" spans="8:8" x14ac:dyDescent="0.35">
      <c r="H27" s="1">
        <v>21</v>
      </c>
    </row>
    <row r="28" spans="8:8" x14ac:dyDescent="0.35">
      <c r="H28" s="1">
        <v>22</v>
      </c>
    </row>
    <row r="29" spans="8:8" x14ac:dyDescent="0.35">
      <c r="H29" s="1">
        <v>23</v>
      </c>
    </row>
    <row r="30" spans="8:8" x14ac:dyDescent="0.35">
      <c r="H30" s="1">
        <v>24</v>
      </c>
    </row>
    <row r="31" spans="8:8" x14ac:dyDescent="0.35">
      <c r="H31" s="1">
        <v>25</v>
      </c>
    </row>
    <row r="32" spans="8:8" x14ac:dyDescent="0.35">
      <c r="H32" s="1">
        <v>26</v>
      </c>
    </row>
    <row r="33" spans="8:8" x14ac:dyDescent="0.35">
      <c r="H33" s="1">
        <v>27</v>
      </c>
    </row>
  </sheetData>
  <mergeCells count="7">
    <mergeCell ref="H2:M2"/>
    <mergeCell ref="E4:F4"/>
    <mergeCell ref="B4:D4"/>
    <mergeCell ref="B5:D5"/>
    <mergeCell ref="B6:D6"/>
    <mergeCell ref="B3:F3"/>
    <mergeCell ref="H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91CB-C94A-4204-AF9F-295577AEB684}">
  <dimension ref="A2:BZ501"/>
  <sheetViews>
    <sheetView workbookViewId="0"/>
  </sheetViews>
  <sheetFormatPr defaultColWidth="9.1796875" defaultRowHeight="14" x14ac:dyDescent="0.35"/>
  <cols>
    <col min="1" max="1" width="9.1796875" style="1"/>
    <col min="2" max="2" width="11.816406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0" width="12.81640625" style="1" bestFit="1" customWidth="1"/>
    <col min="11" max="11" width="16.26953125" style="1" bestFit="1" customWidth="1"/>
    <col min="12" max="12" width="8.7265625" style="1" bestFit="1" customWidth="1"/>
    <col min="13" max="14" width="9.1796875" style="1"/>
    <col min="15" max="15" width="14.7265625" style="1" bestFit="1" customWidth="1"/>
    <col min="16" max="16" width="9.81640625" style="1" bestFit="1" customWidth="1"/>
    <col min="17" max="17" width="9.1796875" style="1"/>
    <col min="18" max="18" width="12.7265625" style="1" bestFit="1" customWidth="1"/>
    <col min="19" max="19" width="10.54296875" style="1" bestFit="1" customWidth="1"/>
    <col min="20" max="21" width="9.7265625" style="1" bestFit="1" customWidth="1"/>
    <col min="22" max="22" width="9.1796875" style="1"/>
    <col min="23" max="23" width="12.7265625" style="1" bestFit="1" customWidth="1"/>
    <col min="24" max="24" width="10.54296875" style="1" bestFit="1" customWidth="1"/>
    <col min="25" max="74" width="13.81640625" style="1" bestFit="1" customWidth="1"/>
    <col min="75" max="16384" width="9.1796875" style="1"/>
  </cols>
  <sheetData>
    <row r="2" spans="2:78" ht="18" x14ac:dyDescent="0.35">
      <c r="W2" s="63" t="s">
        <v>138</v>
      </c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8"/>
    </row>
    <row r="3" spans="2:78" ht="15" customHeight="1" x14ac:dyDescent="0.35">
      <c r="H3" s="60" t="s">
        <v>136</v>
      </c>
      <c r="I3" s="60"/>
      <c r="J3" s="60"/>
      <c r="K3" s="60"/>
      <c r="L3" s="60"/>
      <c r="M3" s="60"/>
      <c r="N3" s="60"/>
      <c r="O3" s="60"/>
      <c r="P3" s="60"/>
      <c r="W3" s="25"/>
      <c r="X3" s="26"/>
      <c r="Y3" s="4" t="str">
        <f>_xlfn.CONCAT("Stage ", A500)</f>
        <v>Stage 1</v>
      </c>
      <c r="Z3" s="4" t="str">
        <f t="shared" ref="Z3:BV3" si="0">_xlfn.CONCAT("Stage ", B500)</f>
        <v>Stage 2</v>
      </c>
      <c r="AA3" s="4" t="str">
        <f t="shared" si="0"/>
        <v>Stage 3</v>
      </c>
      <c r="AB3" s="4" t="str">
        <f t="shared" si="0"/>
        <v>Stage 4</v>
      </c>
      <c r="AC3" s="4" t="str">
        <f t="shared" si="0"/>
        <v>Stage 5</v>
      </c>
      <c r="AD3" s="4" t="str">
        <f t="shared" si="0"/>
        <v>Stage 6</v>
      </c>
      <c r="AE3" s="4" t="str">
        <f t="shared" si="0"/>
        <v>Stage 7</v>
      </c>
      <c r="AF3" s="4" t="str">
        <f t="shared" si="0"/>
        <v>Stage 8</v>
      </c>
      <c r="AG3" s="4" t="str">
        <f t="shared" si="0"/>
        <v>Stage 0</v>
      </c>
      <c r="AH3" s="4" t="str">
        <f t="shared" si="0"/>
        <v>Stage 0</v>
      </c>
      <c r="AI3" s="4" t="str">
        <f t="shared" si="0"/>
        <v>Stage 0</v>
      </c>
      <c r="AJ3" s="4" t="str">
        <f t="shared" si="0"/>
        <v>Stage 0</v>
      </c>
      <c r="AK3" s="4" t="str">
        <f t="shared" si="0"/>
        <v>Stage 0</v>
      </c>
      <c r="AL3" s="4" t="str">
        <f t="shared" si="0"/>
        <v>Stage 0</v>
      </c>
      <c r="AM3" s="4" t="str">
        <f t="shared" si="0"/>
        <v>Stage 0</v>
      </c>
      <c r="AN3" s="4" t="str">
        <f t="shared" si="0"/>
        <v>Stage 0</v>
      </c>
      <c r="AO3" s="4" t="str">
        <f t="shared" si="0"/>
        <v>Stage 0</v>
      </c>
      <c r="AP3" s="4" t="str">
        <f t="shared" si="0"/>
        <v>Stage 0</v>
      </c>
      <c r="AQ3" s="4" t="str">
        <f t="shared" si="0"/>
        <v>Stage 0</v>
      </c>
      <c r="AR3" s="4" t="str">
        <f t="shared" si="0"/>
        <v>Stage 0</v>
      </c>
      <c r="AS3" s="4" t="str">
        <f t="shared" si="0"/>
        <v>Stage 0</v>
      </c>
      <c r="AT3" s="4" t="str">
        <f t="shared" si="0"/>
        <v>Stage 0</v>
      </c>
      <c r="AU3" s="4" t="str">
        <f t="shared" si="0"/>
        <v>Stage 0</v>
      </c>
      <c r="AV3" s="4" t="str">
        <f t="shared" si="0"/>
        <v>Stage 0</v>
      </c>
      <c r="AW3" s="4" t="str">
        <f t="shared" si="0"/>
        <v>Stage 0</v>
      </c>
      <c r="AX3" s="4" t="str">
        <f t="shared" si="0"/>
        <v>Stage 0</v>
      </c>
      <c r="AY3" s="4" t="str">
        <f t="shared" si="0"/>
        <v>Stage 0</v>
      </c>
      <c r="AZ3" s="4" t="str">
        <f t="shared" si="0"/>
        <v>Stage 0</v>
      </c>
      <c r="BA3" s="4" t="str">
        <f t="shared" si="0"/>
        <v>Stage 0</v>
      </c>
      <c r="BB3" s="4" t="str">
        <f t="shared" si="0"/>
        <v>Stage 0</v>
      </c>
      <c r="BC3" s="4" t="str">
        <f t="shared" si="0"/>
        <v>Stage 0</v>
      </c>
      <c r="BD3" s="4" t="str">
        <f t="shared" si="0"/>
        <v>Stage 0</v>
      </c>
      <c r="BE3" s="4" t="str">
        <f t="shared" si="0"/>
        <v>Stage 0</v>
      </c>
      <c r="BF3" s="4" t="str">
        <f t="shared" si="0"/>
        <v>Stage 0</v>
      </c>
      <c r="BG3" s="4" t="str">
        <f t="shared" si="0"/>
        <v>Stage 0</v>
      </c>
      <c r="BH3" s="4" t="str">
        <f t="shared" si="0"/>
        <v>Stage 0</v>
      </c>
      <c r="BI3" s="4" t="str">
        <f t="shared" si="0"/>
        <v>Stage 0</v>
      </c>
      <c r="BJ3" s="4" t="str">
        <f t="shared" si="0"/>
        <v>Stage 0</v>
      </c>
      <c r="BK3" s="4" t="str">
        <f t="shared" si="0"/>
        <v>Stage 0</v>
      </c>
      <c r="BL3" s="4" t="str">
        <f t="shared" si="0"/>
        <v>Stage 0</v>
      </c>
      <c r="BM3" s="4" t="str">
        <f t="shared" si="0"/>
        <v>Stage 0</v>
      </c>
      <c r="BN3" s="4" t="str">
        <f t="shared" si="0"/>
        <v>Stage 0</v>
      </c>
      <c r="BO3" s="4" t="str">
        <f t="shared" si="0"/>
        <v>Stage 0</v>
      </c>
      <c r="BP3" s="4" t="str">
        <f t="shared" si="0"/>
        <v>Stage 0</v>
      </c>
      <c r="BQ3" s="4" t="str">
        <f t="shared" si="0"/>
        <v>Stage 0</v>
      </c>
      <c r="BR3" s="4" t="str">
        <f t="shared" si="0"/>
        <v>Stage 0</v>
      </c>
      <c r="BS3" s="4" t="str">
        <f t="shared" si="0"/>
        <v>Stage 0</v>
      </c>
      <c r="BT3" s="4" t="str">
        <f t="shared" si="0"/>
        <v>Stage 0</v>
      </c>
      <c r="BU3" s="4" t="str">
        <f t="shared" si="0"/>
        <v>Stage 0</v>
      </c>
      <c r="BV3" s="4" t="str">
        <f t="shared" si="0"/>
        <v xml:space="preserve">Stage </v>
      </c>
      <c r="BW3" s="20"/>
      <c r="BX3" s="20"/>
      <c r="BY3" s="20"/>
      <c r="BZ3" s="20"/>
    </row>
    <row r="4" spans="2:78" x14ac:dyDescent="0.35">
      <c r="B4" s="27" t="s">
        <v>103</v>
      </c>
      <c r="C4" s="28"/>
      <c r="D4" s="28"/>
      <c r="E4" s="28"/>
      <c r="F4" s="29"/>
      <c r="H4" s="3"/>
      <c r="I4" s="4"/>
      <c r="J4" s="4" t="s">
        <v>131</v>
      </c>
      <c r="K4" s="4" t="s">
        <v>132</v>
      </c>
      <c r="L4" s="4" t="s">
        <v>53</v>
      </c>
      <c r="M4" s="4" t="s">
        <v>53</v>
      </c>
      <c r="N4" s="4" t="s">
        <v>53</v>
      </c>
      <c r="O4" s="4" t="s">
        <v>134</v>
      </c>
      <c r="P4" s="5" t="s">
        <v>54</v>
      </c>
      <c r="R4" s="27" t="s">
        <v>128</v>
      </c>
      <c r="S4" s="28"/>
      <c r="T4" s="28"/>
      <c r="U4" s="29"/>
      <c r="W4" s="18" t="s">
        <v>58</v>
      </c>
      <c r="X4" s="15" t="s">
        <v>60</v>
      </c>
      <c r="Y4" s="15" t="s">
        <v>129</v>
      </c>
      <c r="Z4" s="15" t="s">
        <v>129</v>
      </c>
      <c r="AA4" s="15" t="s">
        <v>129</v>
      </c>
      <c r="AB4" s="15" t="s">
        <v>129</v>
      </c>
      <c r="AC4" s="15" t="s">
        <v>129</v>
      </c>
      <c r="AD4" s="15" t="s">
        <v>129</v>
      </c>
      <c r="AE4" s="15" t="s">
        <v>129</v>
      </c>
      <c r="AF4" s="15" t="s">
        <v>129</v>
      </c>
      <c r="AG4" s="15" t="s">
        <v>129</v>
      </c>
      <c r="AH4" s="15" t="s">
        <v>129</v>
      </c>
      <c r="AI4" s="15" t="s">
        <v>129</v>
      </c>
      <c r="AJ4" s="15" t="s">
        <v>129</v>
      </c>
      <c r="AK4" s="15" t="s">
        <v>129</v>
      </c>
      <c r="AL4" s="15" t="s">
        <v>129</v>
      </c>
      <c r="AM4" s="15" t="s">
        <v>129</v>
      </c>
      <c r="AN4" s="15" t="s">
        <v>129</v>
      </c>
      <c r="AO4" s="15" t="s">
        <v>129</v>
      </c>
      <c r="AP4" s="15" t="s">
        <v>129</v>
      </c>
      <c r="AQ4" s="15" t="s">
        <v>129</v>
      </c>
      <c r="AR4" s="15" t="s">
        <v>129</v>
      </c>
      <c r="AS4" s="15" t="s">
        <v>129</v>
      </c>
      <c r="AT4" s="15" t="s">
        <v>129</v>
      </c>
      <c r="AU4" s="15" t="s">
        <v>129</v>
      </c>
      <c r="AV4" s="15" t="s">
        <v>129</v>
      </c>
      <c r="AW4" s="15" t="s">
        <v>129</v>
      </c>
      <c r="AX4" s="15" t="s">
        <v>129</v>
      </c>
      <c r="AY4" s="15" t="s">
        <v>129</v>
      </c>
      <c r="AZ4" s="15" t="s">
        <v>129</v>
      </c>
      <c r="BA4" s="15" t="s">
        <v>129</v>
      </c>
      <c r="BB4" s="15" t="s">
        <v>129</v>
      </c>
      <c r="BC4" s="15" t="s">
        <v>129</v>
      </c>
      <c r="BD4" s="15" t="s">
        <v>129</v>
      </c>
      <c r="BE4" s="15" t="s">
        <v>129</v>
      </c>
      <c r="BF4" s="15" t="s">
        <v>129</v>
      </c>
      <c r="BG4" s="15" t="s">
        <v>129</v>
      </c>
      <c r="BH4" s="15" t="s">
        <v>129</v>
      </c>
      <c r="BI4" s="15" t="s">
        <v>129</v>
      </c>
      <c r="BJ4" s="15" t="s">
        <v>129</v>
      </c>
      <c r="BK4" s="15" t="s">
        <v>129</v>
      </c>
      <c r="BL4" s="15" t="s">
        <v>129</v>
      </c>
      <c r="BM4" s="15" t="s">
        <v>129</v>
      </c>
      <c r="BN4" s="15" t="s">
        <v>129</v>
      </c>
      <c r="BO4" s="15" t="s">
        <v>129</v>
      </c>
      <c r="BP4" s="15" t="s">
        <v>129</v>
      </c>
      <c r="BQ4" s="15" t="s">
        <v>129</v>
      </c>
      <c r="BR4" s="15" t="s">
        <v>129</v>
      </c>
      <c r="BS4" s="15" t="s">
        <v>129</v>
      </c>
      <c r="BT4" s="15" t="s">
        <v>129</v>
      </c>
      <c r="BU4" s="15" t="s">
        <v>129</v>
      </c>
      <c r="BV4" s="15" t="s">
        <v>129</v>
      </c>
      <c r="BW4" s="20"/>
      <c r="BX4" s="20"/>
      <c r="BY4" s="20"/>
      <c r="BZ4" s="20"/>
    </row>
    <row r="5" spans="2:78" x14ac:dyDescent="0.35">
      <c r="B5" s="56" t="s">
        <v>97</v>
      </c>
      <c r="C5" s="57"/>
      <c r="D5" s="57"/>
      <c r="E5" s="58"/>
      <c r="F5" s="59"/>
      <c r="H5" s="18" t="s">
        <v>105</v>
      </c>
      <c r="I5" s="15" t="s">
        <v>28</v>
      </c>
      <c r="J5" s="15" t="s">
        <v>96</v>
      </c>
      <c r="K5" s="15" t="s">
        <v>133</v>
      </c>
      <c r="L5" s="15" t="s">
        <v>116</v>
      </c>
      <c r="M5" s="15" t="s">
        <v>124</v>
      </c>
      <c r="N5" s="15" t="s">
        <v>125</v>
      </c>
      <c r="O5" s="15" t="s">
        <v>135</v>
      </c>
      <c r="P5" s="19" t="s">
        <v>95</v>
      </c>
      <c r="R5" s="3" t="s">
        <v>58</v>
      </c>
      <c r="S5" s="4" t="s">
        <v>60</v>
      </c>
      <c r="T5" s="4" t="s">
        <v>62</v>
      </c>
      <c r="U5" s="5" t="s">
        <v>64</v>
      </c>
      <c r="W5" s="18" t="s">
        <v>59</v>
      </c>
      <c r="X5" s="15" t="s">
        <v>61</v>
      </c>
      <c r="Y5" s="15" t="str">
        <f>_xlfn.CONCAT(A501, " ", $I$6)</f>
        <v>0 psia</v>
      </c>
      <c r="Z5" s="15" t="str">
        <f t="shared" ref="Z5:BV5" si="1">_xlfn.CONCAT(B501, " ", $I$6)</f>
        <v>0 psia</v>
      </c>
      <c r="AA5" s="15" t="str">
        <f t="shared" si="1"/>
        <v>0 psia</v>
      </c>
      <c r="AB5" s="15" t="str">
        <f t="shared" si="1"/>
        <v>0 psia</v>
      </c>
      <c r="AC5" s="15" t="str">
        <f t="shared" si="1"/>
        <v>0 psia</v>
      </c>
      <c r="AD5" s="15" t="str">
        <f t="shared" si="1"/>
        <v>0 psia</v>
      </c>
      <c r="AE5" s="15" t="str">
        <f t="shared" si="1"/>
        <v>0 psia</v>
      </c>
      <c r="AF5" s="15" t="str">
        <f t="shared" si="1"/>
        <v>0 psia</v>
      </c>
      <c r="AG5" s="15" t="str">
        <f t="shared" si="1"/>
        <v>0 psia</v>
      </c>
      <c r="AH5" s="15" t="str">
        <f t="shared" si="1"/>
        <v>0 psia</v>
      </c>
      <c r="AI5" s="15" t="str">
        <f t="shared" si="1"/>
        <v>0 psia</v>
      </c>
      <c r="AJ5" s="15" t="str">
        <f t="shared" si="1"/>
        <v>0 psia</v>
      </c>
      <c r="AK5" s="15" t="str">
        <f t="shared" si="1"/>
        <v>0 psia</v>
      </c>
      <c r="AL5" s="15" t="str">
        <f t="shared" si="1"/>
        <v>0 psia</v>
      </c>
      <c r="AM5" s="15" t="str">
        <f t="shared" si="1"/>
        <v>0 psia</v>
      </c>
      <c r="AN5" s="15" t="str">
        <f t="shared" si="1"/>
        <v>0 psia</v>
      </c>
      <c r="AO5" s="15" t="str">
        <f t="shared" si="1"/>
        <v>0 psia</v>
      </c>
      <c r="AP5" s="15" t="str">
        <f t="shared" si="1"/>
        <v>0 psia</v>
      </c>
      <c r="AQ5" s="15" t="str">
        <f t="shared" si="1"/>
        <v>0 psia</v>
      </c>
      <c r="AR5" s="15" t="str">
        <f t="shared" si="1"/>
        <v>0 psia</v>
      </c>
      <c r="AS5" s="15" t="str">
        <f t="shared" si="1"/>
        <v>0 psia</v>
      </c>
      <c r="AT5" s="15" t="str">
        <f t="shared" si="1"/>
        <v>0 psia</v>
      </c>
      <c r="AU5" s="15" t="str">
        <f t="shared" si="1"/>
        <v>0 psia</v>
      </c>
      <c r="AV5" s="15" t="str">
        <f t="shared" si="1"/>
        <v>0 psia</v>
      </c>
      <c r="AW5" s="15" t="str">
        <f t="shared" si="1"/>
        <v>0 psia</v>
      </c>
      <c r="AX5" s="15" t="str">
        <f t="shared" si="1"/>
        <v>0 psia</v>
      </c>
      <c r="AY5" s="15" t="str">
        <f t="shared" si="1"/>
        <v>0 psia</v>
      </c>
      <c r="AZ5" s="15" t="str">
        <f t="shared" si="1"/>
        <v>0 psia</v>
      </c>
      <c r="BA5" s="15" t="str">
        <f t="shared" si="1"/>
        <v>0 psia</v>
      </c>
      <c r="BB5" s="15" t="str">
        <f t="shared" si="1"/>
        <v>0 psia</v>
      </c>
      <c r="BC5" s="15" t="str">
        <f t="shared" si="1"/>
        <v>0 psia</v>
      </c>
      <c r="BD5" s="15" t="str">
        <f t="shared" si="1"/>
        <v>0 psia</v>
      </c>
      <c r="BE5" s="15" t="str">
        <f t="shared" si="1"/>
        <v>0 psia</v>
      </c>
      <c r="BF5" s="15" t="str">
        <f t="shared" si="1"/>
        <v>0 psia</v>
      </c>
      <c r="BG5" s="15" t="str">
        <f t="shared" si="1"/>
        <v>0 psia</v>
      </c>
      <c r="BH5" s="15" t="str">
        <f t="shared" si="1"/>
        <v>0 psia</v>
      </c>
      <c r="BI5" s="15" t="str">
        <f t="shared" si="1"/>
        <v>0 psia</v>
      </c>
      <c r="BJ5" s="15" t="str">
        <f t="shared" si="1"/>
        <v>0 psia</v>
      </c>
      <c r="BK5" s="15" t="str">
        <f t="shared" si="1"/>
        <v>0 psia</v>
      </c>
      <c r="BL5" s="15" t="str">
        <f t="shared" si="1"/>
        <v>0 psia</v>
      </c>
      <c r="BM5" s="15" t="str">
        <f t="shared" si="1"/>
        <v>0 psia</v>
      </c>
      <c r="BN5" s="15" t="str">
        <f t="shared" si="1"/>
        <v>0 psia</v>
      </c>
      <c r="BO5" s="15" t="str">
        <f t="shared" si="1"/>
        <v>0 psia</v>
      </c>
      <c r="BP5" s="15" t="str">
        <f t="shared" si="1"/>
        <v>0 psia</v>
      </c>
      <c r="BQ5" s="15" t="str">
        <f t="shared" si="1"/>
        <v>0 psia</v>
      </c>
      <c r="BR5" s="15" t="str">
        <f t="shared" si="1"/>
        <v>0 psia</v>
      </c>
      <c r="BS5" s="15" t="str">
        <f t="shared" si="1"/>
        <v>0 psia</v>
      </c>
      <c r="BT5" s="15" t="str">
        <f t="shared" si="1"/>
        <v>0 psia</v>
      </c>
      <c r="BU5" s="15" t="str">
        <f t="shared" si="1"/>
        <v>0 psia</v>
      </c>
      <c r="BV5" s="15" t="str">
        <f t="shared" si="1"/>
        <v xml:space="preserve"> psia</v>
      </c>
      <c r="BW5" s="20"/>
      <c r="BX5" s="20"/>
      <c r="BY5" s="20"/>
      <c r="BZ5" s="20"/>
    </row>
    <row r="6" spans="2:78" x14ac:dyDescent="0.35">
      <c r="B6" s="52" t="s">
        <v>98</v>
      </c>
      <c r="C6" s="53"/>
      <c r="D6" s="53"/>
      <c r="E6" s="14"/>
      <c r="F6" s="24"/>
      <c r="H6" s="21"/>
      <c r="I6" s="22" t="s">
        <v>32</v>
      </c>
      <c r="J6" s="22" t="s">
        <v>93</v>
      </c>
      <c r="K6" s="22" t="s">
        <v>93</v>
      </c>
      <c r="L6" s="22" t="s">
        <v>108</v>
      </c>
      <c r="M6" s="22" t="s">
        <v>86</v>
      </c>
      <c r="N6" s="22" t="s">
        <v>126</v>
      </c>
      <c r="O6" s="22" t="s">
        <v>108</v>
      </c>
      <c r="P6" s="23" t="s">
        <v>86</v>
      </c>
      <c r="R6" s="6" t="s">
        <v>59</v>
      </c>
      <c r="S6" s="7" t="s">
        <v>61</v>
      </c>
      <c r="T6" s="7" t="s">
        <v>63</v>
      </c>
      <c r="U6" s="8" t="s">
        <v>63</v>
      </c>
      <c r="W6" s="21"/>
      <c r="X6" s="22"/>
      <c r="Y6" s="22" t="s">
        <v>130</v>
      </c>
      <c r="Z6" s="22" t="s">
        <v>130</v>
      </c>
      <c r="AA6" s="22" t="s">
        <v>130</v>
      </c>
      <c r="AB6" s="22" t="s">
        <v>130</v>
      </c>
      <c r="AC6" s="22" t="s">
        <v>130</v>
      </c>
      <c r="AD6" s="22" t="s">
        <v>130</v>
      </c>
      <c r="AE6" s="22" t="s">
        <v>130</v>
      </c>
      <c r="AF6" s="22" t="s">
        <v>130</v>
      </c>
      <c r="AG6" s="22" t="s">
        <v>130</v>
      </c>
      <c r="AH6" s="22" t="s">
        <v>130</v>
      </c>
      <c r="AI6" s="22" t="s">
        <v>130</v>
      </c>
      <c r="AJ6" s="22" t="s">
        <v>130</v>
      </c>
      <c r="AK6" s="22" t="s">
        <v>130</v>
      </c>
      <c r="AL6" s="22" t="s">
        <v>130</v>
      </c>
      <c r="AM6" s="22" t="s">
        <v>130</v>
      </c>
      <c r="AN6" s="22" t="s">
        <v>130</v>
      </c>
      <c r="AO6" s="22" t="s">
        <v>130</v>
      </c>
      <c r="AP6" s="22" t="s">
        <v>130</v>
      </c>
      <c r="AQ6" s="22" t="s">
        <v>130</v>
      </c>
      <c r="AR6" s="22" t="s">
        <v>130</v>
      </c>
      <c r="AS6" s="22" t="s">
        <v>130</v>
      </c>
      <c r="AT6" s="22" t="s">
        <v>130</v>
      </c>
      <c r="AU6" s="22" t="s">
        <v>130</v>
      </c>
      <c r="AV6" s="22" t="s">
        <v>130</v>
      </c>
      <c r="AW6" s="22" t="s">
        <v>130</v>
      </c>
      <c r="AX6" s="22" t="s">
        <v>130</v>
      </c>
      <c r="AY6" s="22" t="s">
        <v>130</v>
      </c>
      <c r="AZ6" s="22" t="s">
        <v>130</v>
      </c>
      <c r="BA6" s="22" t="s">
        <v>130</v>
      </c>
      <c r="BB6" s="22" t="s">
        <v>130</v>
      </c>
      <c r="BC6" s="22" t="s">
        <v>130</v>
      </c>
      <c r="BD6" s="22" t="s">
        <v>130</v>
      </c>
      <c r="BE6" s="22" t="s">
        <v>130</v>
      </c>
      <c r="BF6" s="22" t="s">
        <v>130</v>
      </c>
      <c r="BG6" s="22" t="s">
        <v>130</v>
      </c>
      <c r="BH6" s="22" t="s">
        <v>130</v>
      </c>
      <c r="BI6" s="22" t="s">
        <v>130</v>
      </c>
      <c r="BJ6" s="22" t="s">
        <v>130</v>
      </c>
      <c r="BK6" s="22" t="s">
        <v>130</v>
      </c>
      <c r="BL6" s="22" t="s">
        <v>130</v>
      </c>
      <c r="BM6" s="22" t="s">
        <v>130</v>
      </c>
      <c r="BN6" s="22" t="s">
        <v>130</v>
      </c>
      <c r="BO6" s="22" t="s">
        <v>130</v>
      </c>
      <c r="BP6" s="22" t="s">
        <v>130</v>
      </c>
      <c r="BQ6" s="22" t="s">
        <v>130</v>
      </c>
      <c r="BR6" s="22" t="s">
        <v>130</v>
      </c>
      <c r="BS6" s="22" t="s">
        <v>130</v>
      </c>
      <c r="BT6" s="22" t="s">
        <v>130</v>
      </c>
      <c r="BU6" s="22" t="s">
        <v>130</v>
      </c>
      <c r="BV6" s="22" t="s">
        <v>130</v>
      </c>
    </row>
    <row r="7" spans="2:78" x14ac:dyDescent="0.35">
      <c r="B7" s="61" t="s">
        <v>99</v>
      </c>
      <c r="C7" s="62"/>
      <c r="D7" s="62"/>
      <c r="E7" s="10"/>
      <c r="F7" s="2"/>
      <c r="H7" s="1" t="s">
        <v>144</v>
      </c>
    </row>
    <row r="8" spans="2:78" x14ac:dyDescent="0.35">
      <c r="H8" s="1">
        <v>1</v>
      </c>
    </row>
    <row r="9" spans="2:78" x14ac:dyDescent="0.35">
      <c r="B9" s="27" t="s">
        <v>118</v>
      </c>
      <c r="C9" s="28"/>
      <c r="D9" s="28"/>
      <c r="E9" s="28"/>
      <c r="F9" s="29"/>
      <c r="H9" s="1">
        <v>2</v>
      </c>
    </row>
    <row r="10" spans="2:78" x14ac:dyDescent="0.35">
      <c r="B10" s="56" t="s">
        <v>119</v>
      </c>
      <c r="C10" s="57"/>
      <c r="D10" s="57"/>
      <c r="E10" s="12"/>
      <c r="F10" s="11"/>
      <c r="H10" s="1">
        <v>3</v>
      </c>
    </row>
    <row r="11" spans="2:78" x14ac:dyDescent="0.35">
      <c r="B11" s="61" t="s">
        <v>137</v>
      </c>
      <c r="C11" s="62"/>
      <c r="D11" s="62"/>
      <c r="E11" s="10"/>
      <c r="F11" s="16"/>
      <c r="H11" s="1">
        <v>4</v>
      </c>
    </row>
    <row r="12" spans="2:78" x14ac:dyDescent="0.35">
      <c r="H12" s="1">
        <v>5</v>
      </c>
    </row>
    <row r="13" spans="2:78" x14ac:dyDescent="0.35">
      <c r="H13" s="1">
        <v>6</v>
      </c>
    </row>
    <row r="14" spans="2:78" x14ac:dyDescent="0.35">
      <c r="H14" s="1">
        <v>7</v>
      </c>
    </row>
    <row r="15" spans="2:78" x14ac:dyDescent="0.35">
      <c r="H15" s="1">
        <v>8</v>
      </c>
    </row>
    <row r="500" spans="1:49" x14ac:dyDescent="0.35">
      <c r="A500" s="1" cm="1">
        <f t="array" ref="A500:AW500">TRANSPOSE(H8:H56)</f>
        <v>1</v>
      </c>
      <c r="B500" s="1">
        <v>2</v>
      </c>
      <c r="C500" s="1">
        <v>3</v>
      </c>
      <c r="D500" s="1">
        <v>4</v>
      </c>
      <c r="E500" s="1">
        <v>5</v>
      </c>
      <c r="F500" s="1">
        <v>6</v>
      </c>
      <c r="G500" s="1">
        <v>7</v>
      </c>
      <c r="H500" s="1">
        <v>8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</row>
    <row r="501" spans="1:49" x14ac:dyDescent="0.35">
      <c r="A501" s="1" cm="1">
        <f t="array" ref="A501:AW501">TRANSPOSE(I8:I56)</f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</row>
  </sheetData>
  <mergeCells count="11">
    <mergeCell ref="B6:D6"/>
    <mergeCell ref="B7:D7"/>
    <mergeCell ref="B9:F9"/>
    <mergeCell ref="B10:D10"/>
    <mergeCell ref="B11:D11"/>
    <mergeCell ref="W2:BV2"/>
    <mergeCell ref="H3:P3"/>
    <mergeCell ref="B4:F4"/>
    <mergeCell ref="R4:U4"/>
    <mergeCell ref="B5:D5"/>
    <mergeCell ref="E5:F5"/>
  </mergeCells>
  <conditionalFormatting sqref="Y3:BV6">
    <cfRule type="expression" dxfId="0" priority="1">
      <formula>IF(A$501=0,1,0)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units</vt:lpstr>
      <vt:lpstr>sample options</vt:lpstr>
      <vt:lpstr>General Info</vt:lpstr>
      <vt:lpstr>Compositional Data</vt:lpstr>
      <vt:lpstr>CCE Experimental Data</vt:lpstr>
      <vt:lpstr>CVD Experimental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Hays Nielsen</dc:creator>
  <cp:lastModifiedBy>Markus Hays Nielsen</cp:lastModifiedBy>
  <dcterms:created xsi:type="dcterms:W3CDTF">2024-03-26T07:21:57Z</dcterms:created>
  <dcterms:modified xsi:type="dcterms:W3CDTF">2025-07-16T06:16:17Z</dcterms:modified>
</cp:coreProperties>
</file>